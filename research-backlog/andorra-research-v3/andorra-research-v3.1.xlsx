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4c0bf0578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s" sheetId="1" r:id="R1c3092c99ae246d2"/>
    <x:sheet xmlns:r="http://schemas.openxmlformats.org/officeDocument/2006/relationships" name="Cities" sheetId="2" r:id="R32c5ba81df314c3c"/>
    <x:sheet xmlns:r="http://schemas.openxmlformats.org/officeDocument/2006/relationships" name="Open Questions" sheetId="3" r:id="R632af5a1fe324692"/>
    <x:sheet xmlns:r="http://schemas.openxmlformats.org/officeDocument/2006/relationships" name="Sources" sheetId="4" r:id="R3d7827943a984bf9"/>
    <x:sheet xmlns:r="http://schemas.openxmlformats.org/officeDocument/2006/relationships" name="Completeness" sheetId="5" r:id="R82420472177f40e6"/>
    <x:sheet xmlns:r="http://schemas.openxmlformats.org/officeDocument/2006/relationships" name="Route Details" sheetId="6" r:id="R967cc1cfa04045aa"/>
    <x:sheet xmlns:r="http://schemas.openxmlformats.org/officeDocument/2006/relationships" name="Country Facts" sheetId="7" r:id="R2a99654fd9534c07"/>
    <x:sheet xmlns:r="http://schemas.openxmlformats.org/officeDocument/2006/relationships" name="V3.2 Audit" sheetId="8" r:id="R76fe3159f2f9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2" fillId="3" borderId="0" xfId="0" applyNumberFormat="1" applyFont="1" applyFill="1" applyBorder="1"/>
    <x:xf numFmtId="201" fontId="0" fillId="0" borderId="1" xfId="0" applyNumberFormat="1" applyFont="1" applyFill="1" applyBorder="1"/>
    <x:xf numFmtId="201" fontId="2" fillId="3" borderId="1" xfId="0" applyNumberFormat="1" applyFont="1" applyFill="1" applyBorder="1"/>
    <x:xf numFmtId="202" fontId="0" fillId="0" borderId="0" xfId="0" applyNumberFormat="1" applyFont="1" applyFill="1" applyBorder="1"/>
    <x:xf numFmtId="202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806d8296e4072" /><Relationship Type="http://schemas.openxmlformats.org/officeDocument/2006/relationships/theme" Target="/xl/theme/theme1.xml" Id="R095e12d6ecb24af3" /><Relationship Type="http://schemas.openxmlformats.org/officeDocument/2006/relationships/sharedStrings" Target="/xl/sharedStrings.xml" Id="R5d2d45fcf8f14291" /><Relationship Type="http://schemas.openxmlformats.org/officeDocument/2006/relationships/worksheet" Target="/xl/worksheets/sheet1.xml" Id="R1c3092c99ae246d2" /><Relationship Type="http://schemas.openxmlformats.org/officeDocument/2006/relationships/worksheet" Target="/xl/worksheets/sheet2.xml" Id="R32c5ba81df314c3c" /><Relationship Type="http://schemas.openxmlformats.org/officeDocument/2006/relationships/worksheet" Target="/xl/worksheets/sheet3.xml" Id="R632af5a1fe324692" /><Relationship Type="http://schemas.openxmlformats.org/officeDocument/2006/relationships/worksheet" Target="/xl/worksheets/sheet4.xml" Id="R3d7827943a984bf9" /><Relationship Type="http://schemas.openxmlformats.org/officeDocument/2006/relationships/worksheet" Target="/xl/worksheets/sheet5.xml" Id="R82420472177f40e6" /><Relationship Type="http://schemas.openxmlformats.org/officeDocument/2006/relationships/worksheet" Target="/xl/worksheets/sheet6.xml" Id="R967cc1cfa04045aa" /><Relationship Type="http://schemas.openxmlformats.org/officeDocument/2006/relationships/worksheet" Target="/xl/worksheets/sheet7.xml" Id="R2a99654fd9534c07" /><Relationship Type="http://schemas.openxmlformats.org/officeDocument/2006/relationships/worksheet" Target="/xl/worksheets/sheet8.xml" Id="R76fe3159f2f940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4" hidden="0" customWidth="1"/>
    <x:col min="4" max="4" width="20" hidden="0" customWidth="1"/>
    <x:col min="5" max="5" width="18" hidden="0" customWidth="1"/>
    <x:col min="6" max="6" width="14" hidden="0" customWidth="1"/>
    <x:col min="7" max="7" width="44" hidden="0" customWidth="1"/>
    <x:col min="8" max="8" width="26" hidden="0" customWidth="1"/>
  </x:cols>
  <x:sheetData>
    <x:row r="1">
      <x:c r="A1" s="4" t="str">
        <x:v>Route ID</x:v>
      </x:c>
      <x:c r="B1" s="4" t="str">
        <x:v>Официальное название</x:v>
      </x:c>
      <x:c r="C1" s="4" t="str">
        <x:v>Название для пользователя</x:v>
      </x:c>
      <x:c r="D1" s="4" t="str">
        <x:v>Тип</x:v>
      </x:c>
      <x:c r="E1" s="4" t="str">
        <x:v>Доступно РФ</x:v>
      </x:c>
      <x:c r="F1" s="4" t="str">
        <x:v>Публикуется</x:v>
      </x:c>
      <x:c r="G1" s="4" t="str">
        <x:v>Причина скрытия</x:v>
      </x:c>
      <x:c r="H1" s="4" t="str">
        <x:v>Source IDs</x:v>
      </x:c>
    </x:row>
    <x:row r="2">
      <x:c r="A2" s="8" t="str">
        <x:v>AD_DN</x:v>
      </x:c>
      <x:c r="B2" s="8" t="str">
        <x:v>Residència per a nòmada digital</x:v>
      </x:c>
      <x:c r="C2" s="8" t="str">
        <x:v>Цифровой кочевник</x:v>
      </x:c>
      <x:c r="D2" s="8" t="str">
        <x:v>DIGITAL_NOMAD</x:v>
      </x:c>
      <x:c r="E2" s="8" t="str">
        <x:v>Да</x:v>
      </x:c>
      <x:c r="F2" s="8" t="str">
        <x:v>Да</x:v>
      </x:c>
      <x:c r="G2" s="8" t="str"/>
      <x:c r="H2" s="8" t="str">
        <x:v>AD_SRC_DN; AD_SRC_NORM</x:v>
      </x:c>
    </x:row>
    <x:row r="3">
      <x:c r="A3" s="8" t="str">
        <x:v>AD_SELF</x:v>
      </x:c>
      <x:c r="B3" s="8" t="str">
        <x:v>Residència i treball per compte propi</x:v>
      </x:c>
      <x:c r="C3" s="8" t="str">
        <x:v>Самозанятость / собственная компания</x:v>
      </x:c>
      <x:c r="D3" s="8" t="str">
        <x:v>SELF_EMPLOYMENT</x:v>
      </x:c>
      <x:c r="E3" s="8" t="str">
        <x:v>Да</x:v>
      </x:c>
      <x:c r="F3" s="8" t="str">
        <x:v>Да</x:v>
      </x:c>
      <x:c r="G3" s="8" t="str"/>
      <x:c r="H3" s="8" t="str">
        <x:v>AD_SRC_SELF; AD_SRC_NORM</x:v>
      </x:c>
    </x:row>
    <x:row r="4">
      <x:c r="A4" s="8" t="str">
        <x:v>AD_EMP</x:v>
      </x:c>
      <x:c r="B4" s="8" t="str">
        <x:v>Residència i treball</x:v>
      </x:c>
      <x:c r="C4" s="8" t="str">
        <x:v>Работа у андоррского работодателя</x:v>
      </x:c>
      <x:c r="D4" s="8" t="str">
        <x:v>LOCAL_EMPLOYMENT</x:v>
      </x:c>
      <x:c r="E4" s="8" t="str">
        <x:v>Да, при наличии квоты и контракта</x:v>
      </x:c>
      <x:c r="F4" s="8" t="str">
        <x:v>Да</x:v>
      </x:c>
      <x:c r="G4" s="8" t="str"/>
      <x:c r="H4" s="8" t="str">
        <x:v>AD_SRC_EMP; AD_SRC_NORM</x:v>
      </x:c>
    </x:row>
    <x:row r="5">
      <x:c r="A5" s="8" t="str">
        <x:v>AD_INTL_PRO</x:v>
      </x:c>
      <x:c r="B5" s="8" t="str">
        <x:v>Residència per a professionals amb projecció internacional</x:v>
      </x:c>
      <x:c r="C5" s="8" t="str">
        <x:v>Международный профессионал</x:v>
      </x:c>
      <x:c r="D5" s="8" t="str">
        <x:v>PASSIVE_SPECIAL</x:v>
      </x:c>
      <x:c r="E5" s="8" t="str">
        <x:v>Да</x:v>
      </x:c>
      <x:c r="F5" s="8" t="str">
        <x:v>Нет</x:v>
      </x:c>
      <x:c r="G5" s="8" t="str">
        <x:v>Текущая анкета не проверяет квалификацию, бизнес-план, долю услуг вне Андорры и депозит</x:v>
      </x:c>
      <x:c r="H5" s="8" t="str">
        <x:v>AD_SRC_PASSIVE</x:v>
      </x:c>
    </x:row>
    <x:row r="6">
      <x:c r="A6" s="8" t="str">
        <x:v>AD_ENT</x:v>
      </x:c>
      <x:c r="B6" s="8" t="str">
        <x:v>Residència per a participants en programes per a emprenedors</x:v>
      </x:c>
      <x:c r="C6" s="8" t="str">
        <x:v>Предпринимательская программа</x:v>
      </x:c>
      <x:c r="D6" s="8" t="str">
        <x:v>ENTREPRENEUR</x:v>
      </x:c>
      <x:c r="E6" s="8" t="str">
        <x:v>Да</x:v>
      </x:c>
      <x:c r="F6" s="8" t="str">
        <x:v>Нет</x:v>
      </x:c>
      <x:c r="G6" s="8" t="str">
        <x:v>Нужно подтверждение участия в официальной программе; универсальная анкета этого не проверяет</x:v>
      </x:c>
      <x:c r="H6" s="8" t="str">
        <x:v>AD_SRC_ENT</x:v>
      </x:c>
    </x:row>
    <x:row r="7">
      <x:c r="A7" s="8" t="str">
        <x:v>AD_PASSIVE</x:v>
      </x:c>
      <x:c r="B7" s="8" t="str">
        <x:v>Residència sense treball</x:v>
      </x:c>
      <x:c r="C7" s="8" t="str">
        <x:v>Пассивная/инвестиционная резиденция</x:v>
      </x:c>
      <x:c r="D7" s="8" t="str">
        <x:v>PASSIVE_RESIDENCE</x:v>
      </x:c>
      <x:c r="E7" s="8" t="str">
        <x:v>Да</x:v>
      </x:c>
      <x:c r="F7" s="8" t="str">
        <x:v>Нет</x:v>
      </x:c>
      <x:c r="G7" s="8" t="str">
        <x:v>Требуются отдельные инвестиционные и имущественные поля; актуальные пороги зависят от подкатегории и квоты</x:v>
      </x:c>
      <x:c r="H7" s="8" t="str">
        <x:v>AD_SRC_PASSIVE; AD_SRC_NORM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44" hidden="0" customWidth="1"/>
  </x:cols>
  <x:sheetData>
    <x:row r="1">
      <x:c r="A1" s="4" t="str">
        <x:v>City ID</x:v>
      </x:c>
      <x:c r="B1" s="4" t="str">
        <x:v>Локация</x:v>
      </x:c>
      <x:c r="C1" s="4" t="str">
        <x:v>Роль</x:v>
      </x:c>
      <x:c r="D1" s="4" t="str">
        <x:v>Размер</x:v>
      </x:c>
      <x:c r="E1" s="4" t="str">
        <x:v>Один, USD min</x:v>
      </x:c>
      <x:c r="F1" s="4" t="str">
        <x:v>Один, USD max</x:v>
      </x:c>
      <x:c r="G1" s="4" t="str">
        <x:v>Пара min</x:v>
      </x:c>
      <x:c r="H1" s="4" t="str">
        <x:v>Пара max</x:v>
      </x:c>
      <x:c r="I1" s="4" t="str">
        <x:v>Семья+1 min</x:v>
      </x:c>
      <x:c r="J1" s="4" t="str">
        <x:v>Семья+1 max</x:v>
      </x:c>
      <x:c r="K1" s="4" t="str">
        <x:v>Климат</x:v>
      </x:c>
      <x:c r="L1" s="4" t="str">
        <x:v>Уверенность</x:v>
      </x:c>
      <x:c r="M1" s="4" t="str">
        <x:v>Источник</x:v>
      </x:c>
    </x:row>
    <x:row r="2">
      <x:c r="A2" s="8" t="str">
        <x:v>AD_CAPITAL</x:v>
      </x:c>
      <x:c r="B2" s="8" t="str">
        <x:v>Андорра-ла-Велья / Эскальдес</x:v>
      </x:c>
      <x:c r="C2" s="8" t="str">
        <x:v>столица и услуги</x:v>
      </x:c>
      <x:c r="D2" s="8" t="str">
        <x:v>средний</x:v>
      </x:c>
      <x:c r="E2" s="8" t="n">
        <x:v>2400</x:v>
      </x:c>
      <x:c r="F2" s="8" t="n">
        <x:v>2800</x:v>
      </x:c>
      <x:c r="G2" s="8" t="n">
        <x:v>3200</x:v>
      </x:c>
      <x:c r="H2" s="8" t="n">
        <x:v>3800</x:v>
      </x:c>
      <x:c r="I2" s="8" t="n">
        <x:v>4300</x:v>
      </x:c>
      <x:c r="J2" s="8" t="n">
        <x:v>5100</x:v>
      </x:c>
      <x:c r="K2" s="8" t="str">
        <x:v>горный, холодная зима</x:v>
      </x:c>
      <x:c r="L2" s="8" t="str">
        <x:v>MEDIUM</x:v>
      </x:c>
      <x:c r="M2" s="8" t="str">
        <x:v>https://www.numbeo.com/cost-of-living/in/Andorra-La-Vella</x:v>
      </x:c>
    </x:row>
    <x:row r="3">
      <x:c r="A3" s="8" t="str">
        <x:v>AD_ENCAMP</x:v>
      </x:c>
      <x:c r="B3" s="8" t="str">
        <x:v>Энкам</x:v>
      </x:c>
      <x:c r="C3" s="8" t="str">
        <x:v>более доступное жилье</x:v>
      </x:c>
      <x:c r="D3" s="8" t="str">
        <x:v>небольшой</x:v>
      </x:c>
      <x:c r="E3" s="8" t="n">
        <x:v>2000</x:v>
      </x:c>
      <x:c r="F3" s="8" t="n">
        <x:v>2400</x:v>
      </x:c>
      <x:c r="G3" s="8" t="n">
        <x:v>2800</x:v>
      </x:c>
      <x:c r="H3" s="8" t="n">
        <x:v>3300</x:v>
      </x:c>
      <x:c r="I3" s="8" t="n">
        <x:v>3900</x:v>
      </x:c>
      <x:c r="J3" s="8" t="n">
        <x:v>4600</x:v>
      </x:c>
      <x:c r="K3" s="8" t="str">
        <x:v>холоднее столицы</x:v>
      </x:c>
      <x:c r="L3" s="8" t="str">
        <x:v>LOW</x:v>
      </x:c>
      <x:c r="M3" s="8" t="str">
        <x:v>https://www.numbeo.com/cost-of-living/country_result.jsp?country=Andorra</x:v>
      </x:c>
    </x:row>
    <x:row r="4">
      <x:c r="A4" s="8" t="str">
        <x:v>AD_SANT_JULIA</x:v>
      </x:c>
      <x:c r="B4" s="8" t="str">
        <x:v>Сант-Жулия-де-Лория</x:v>
      </x:c>
      <x:c r="C4" s="8" t="str">
        <x:v>более мягкий климат</x:v>
      </x:c>
      <x:c r="D4" s="8" t="str">
        <x:v>небольшой</x:v>
      </x:c>
      <x:c r="E4" s="8" t="n">
        <x:v>2100</x:v>
      </x:c>
      <x:c r="F4" s="8" t="n">
        <x:v>2500</x:v>
      </x:c>
      <x:c r="G4" s="8" t="n">
        <x:v>2900</x:v>
      </x:c>
      <x:c r="H4" s="8" t="n">
        <x:v>3400</x:v>
      </x:c>
      <x:c r="I4" s="8" t="n">
        <x:v>4000</x:v>
      </x:c>
      <x:c r="J4" s="8" t="n">
        <x:v>4700</x:v>
      </x:c>
      <x:c r="K4" s="8" t="str">
        <x:v>мягче и солнечнее</x:v>
      </x:c>
      <x:c r="L4" s="8" t="str">
        <x:v>LOW</x:v>
      </x:c>
      <x:c r="M4" s="8" t="str">
        <x:v>https://www.numbeo.com/cost-of-living/country_result.jsp?country=Andorra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48" hidden="0" customWidth="1"/>
    <x:col min="5" max="5" width="46" hidden="0" customWidth="1"/>
  </x:cols>
  <x:sheetData>
    <x:row r="1">
      <x:c r="A1" s="28" t="str">
        <x:v>ID</x:v>
      </x:c>
      <x:c r="B1" s="28" t="str">
        <x:v>Приоритет</x:v>
      </x:c>
      <x:c r="C1" s="28" t="str">
        <x:v>Вес</x:v>
      </x:c>
      <x:c r="D1" s="28" t="str">
        <x:v>Что остаётся</x:v>
      </x:c>
      <x:c r="E1" s="28" t="str">
        <x:v>Обработка</x:v>
      </x:c>
    </x:row>
    <x:row r="2">
      <x:c r="A2" s="8" t="str">
        <x:v>AD_DYNAMIC_BANKING</x:v>
      </x:c>
      <x:c r="B2" s="8" t="str">
        <x:v>MEDIUM</x:v>
      </x:c>
      <x:c r="C2" s="8" t="str">
        <x:v>2%</x:v>
      </x:c>
      <x:c r="D2" s="8" t="str">
        <x:v>Практика банков по гражданам РФ и происхождению средств</x:v>
      </x:c>
      <x:c r="E2" s="8" t="str">
        <x:v>Проверять непосредственно перед открытием счёта</x:v>
      </x:c>
    </x:row>
    <x:row r="3">
      <x:c r="A3" s="8" t="str">
        <x:v>AD_CITY_MARKET</x:v>
      </x:c>
      <x:c r="B3" s="8" t="str">
        <x:v>MEDIUM</x:v>
      </x:c>
      <x:c r="C3" s="8" t="str">
        <x:v>2%</x:v>
      </x:c>
      <x:c r="D3" s="8" t="str">
        <x:v>Динамические цены аренды и расходов</x:v>
      </x:c>
      <x:c r="E3" s="8" t="str">
        <x:v>Использовать диапазоны и дату проверки</x:v>
      </x:c>
    </x:row>
    <x:row r="4">
      <x:c r="A4" s="8"/>
      <x:c r="B4" s="8"/>
      <x:c r="C4" s="8"/>
      <x:c r="D4" s="8"/>
      <x:c r="E4" s="8"/>
    </x:row>
    <x:row r="5">
      <x:c r="A5" s="8"/>
      <x:c r="B5" s="8"/>
      <x:c r="C5" s="8"/>
      <x:c r="D5" s="8"/>
      <x:c r="E5" s="8"/>
    </x:row>
    <x:row r="6">
      <x:c r="A6" s="8"/>
      <x:c r="B6" s="8"/>
      <x:c r="C6" s="8"/>
      <x:c r="D6" s="8"/>
      <x:c r="E6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40" hidden="0" customWidth="1"/>
    <x:col min="5" max="5" width="58" hidden="0" customWidth="1"/>
    <x:col min="6" max="6" width="58" hidden="0" customWidth="1"/>
    <x:col min="7" max="7" width="14" hidden="0" customWidth="1"/>
    <x:col min="8" max="8" width="14" hidden="0" customWidth="1"/>
  </x:cols>
  <x:sheetData>
    <x:row r="1">
      <x:c r="A1" s="4" t="str">
        <x:v>Source ID</x:v>
      </x:c>
      <x:c r="B1" s="4" t="str">
        <x:v>Тип</x:v>
      </x:c>
      <x:c r="C1" s="4" t="str">
        <x:v>Орган</x:v>
      </x:c>
      <x:c r="D1" s="4" t="str">
        <x:v>Название</x:v>
      </x:c>
      <x:c r="E1" s="4" t="str">
        <x:v>URL</x:v>
      </x:c>
      <x:c r="F1" s="4" t="str">
        <x:v>Подтверждает</x:v>
      </x:c>
      <x:c r="G1" s="4" t="str">
        <x:v>Проверено</x:v>
      </x:c>
      <x:c r="H1" s="4" t="str">
        <x:v>Уверенность</x:v>
      </x:c>
    </x:row>
    <x:row r="2">
      <x:c r="A2" s="8" t="str">
        <x:v>AD_SRC_IMM_CATALOG</x:v>
      </x:c>
      <x:c r="B2" s="8" t="str">
        <x:v>OFFICIAL</x:v>
      </x:c>
      <x:c r="C2" s="8" t="str">
        <x:v>Govern d’Andorra</x:v>
      </x:c>
      <x:c r="D2" s="8" t="str">
        <x:v>Каталог разрешений на проживание и работу</x:v>
      </x:c>
      <x:c r="E2" s="8" t="str">
        <x:v>https://www.govern.ad/ca/tematiques/immigracio/residencia-i-treball</x:v>
      </x:c>
      <x:c r="F2" s="8" t="str">
        <x:v>Перечень действующих маршрутов, включая работу, самозанятость, digital nomad и предпринимательскую программу</x:v>
      </x:c>
      <x:c r="G2" s="8" t="str">
        <x:v>2026-07-31</x:v>
      </x:c>
      <x:c r="H2" s="8" t="str">
        <x:v>HIGH</x:v>
      </x:c>
    </x:row>
    <x:row r="3">
      <x:c r="A3" s="8" t="str">
        <x:v>AD_SRC_DN</x:v>
      </x:c>
      <x:c r="B3" s="8" t="str">
        <x:v>OFFICIAL</x:v>
      </x:c>
      <x:c r="C3" s="8" t="str">
        <x:v>Govern d’Andorra</x:v>
      </x:c>
      <x:c r="D3" s="8" t="str">
        <x:v>D.3 Residència per a nòmada digital</x:v>
      </x:c>
      <x:c r="E3" s="8" t="str">
        <x:v>https://www.govern.ad/ca/tematiques/immigracio/residencia/residencia-per-a-nomada-digital</x:v>
      </x:c>
      <x:c r="F3" s="8" t="str">
        <x:v>Digital nomad: 90 дней проживания в год; 2+2+3 года, затем 10-летние продления; требуется одобрение Минэкономики</x:v>
      </x:c>
      <x:c r="G3" s="8" t="str">
        <x:v>2026-07-31</x:v>
      </x:c>
      <x:c r="H3" s="8" t="str">
        <x:v>HIGH</x:v>
      </x:c>
    </x:row>
    <x:row r="4">
      <x:c r="A4" s="8" t="str">
        <x:v>AD_SRC_ENT</x:v>
      </x:c>
      <x:c r="B4" s="8" t="str">
        <x:v>OFFICIAL</x:v>
      </x:c>
      <x:c r="C4" s="8" t="str">
        <x:v>Govern d’Andorra</x:v>
      </x:c>
      <x:c r="D4" s="8" t="str">
        <x:v>D.4 Residència per a participants en programes per a emprenedors</x:v>
      </x:c>
      <x:c r="E4" s="8" t="str">
        <x:v>https://www.govern.ad/ca/tematiques/immigracio/residencia/residencia-per-a-participants-en-programes-per-a-emprenedors</x:v>
      </x:c>
      <x:c r="F4" s="8" t="str">
        <x:v>Предпринимательская программа: участие в утвержденной программе, 90 дней в год, разрешение на 1 год с годовыми продлениями</x:v>
      </x:c>
      <x:c r="G4" s="8" t="str">
        <x:v>2026-07-31</x:v>
      </x:c>
      <x:c r="H4" s="8" t="str">
        <x:v>HIGH</x:v>
      </x:c>
    </x:row>
    <x:row r="5">
      <x:c r="A5" s="8" t="str">
        <x:v>AD_SRC_SELF</x:v>
      </x:c>
      <x:c r="B5" s="8" t="str">
        <x:v>OFFICIAL</x:v>
      </x:c>
      <x:c r="C5" s="8" t="str">
        <x:v>Govern d’Andorra</x:v>
      </x:c>
      <x:c r="D5" s="8" t="str">
        <x:v>J.1 Residència i treball per compte propi</x:v>
      </x:c>
      <x:c r="E5" s="8" t="str">
        <x:v>https://www.govern.ad/ca/tematiques/immigracio/residencia-i-treball/residencia-i-treball-per-compte-propi-autoritzacio-inicial</x:v>
      </x:c>
      <x:c r="F5" s="8" t="str">
        <x:v>Самозанятость/собственная компания; квота; постоянное проживание; для компании доля &gt;34%, управление, активный бизнес и депозит €50 000</x:v>
      </x:c>
      <x:c r="G5" s="8" t="str">
        <x:v>2026-07-31</x:v>
      </x:c>
      <x:c r="H5" s="8" t="str">
        <x:v>HIGH</x:v>
      </x:c>
    </x:row>
    <x:row r="6">
      <x:c r="A6" s="8" t="str">
        <x:v>AD_SRC_EMP</x:v>
      </x:c>
      <x:c r="B6" s="8" t="str">
        <x:v>OFFICIAL</x:v>
      </x:c>
      <x:c r="C6" s="8" t="str">
        <x:v>Govern d’Andorra</x:v>
      </x:c>
      <x:c r="D6" s="8" t="str">
        <x:v>A.1 Residència i treball</x:v>
      </x:c>
      <x:c r="E6" s="8" t="str">
        <x:v>https://www.govern.ad/ca/tematiques/immigracio/residencia-i-treball/residencia-i-treball-autoritzacio-inicial</x:v>
      </x:c>
      <x:c r="F6" s="8" t="str">
        <x:v>Местный трудовой маршрут; первое разрешение 1 год, затем три продления по 2 года</x:v>
      </x:c>
      <x:c r="G6" s="8" t="str">
        <x:v>2026-07-31</x:v>
      </x:c>
      <x:c r="H6" s="8" t="str">
        <x:v>HIGH</x:v>
      </x:c>
    </x:row>
    <x:row r="7">
      <x:c r="A7" s="8" t="str">
        <x:v>AD_SRC_PASSIVE</x:v>
      </x:c>
      <x:c r="B7" s="8" t="str">
        <x:v>OFFICIAL</x:v>
      </x:c>
      <x:c r="C7" s="8" t="str">
        <x:v>Govern d’Andorra</x:v>
      </x:c>
      <x:c r="D7" s="8" t="str">
        <x:v>D.1 Residència sense treball</x:v>
      </x:c>
      <x:c r="E7" s="8" t="str">
        <x:v>https://www.govern.ad/ca/tematiques/immigracio/residencia/residencia-sense-treball-autoritzacio-inicial</x:v>
      </x:c>
      <x:c r="F7" s="8" t="str">
        <x:v>Пассивная резиденция и специальные категории; для международного профессионала 85% услуг за пределами Андорры, 90 дней в год, депозит €47 500 + €9 500 на иждивенца</x:v>
      </x:c>
      <x:c r="G7" s="8" t="str">
        <x:v>2026-07-31</x:v>
      </x:c>
      <x:c r="H7" s="8" t="str">
        <x:v>HIGH</x:v>
      </x:c>
    </x:row>
    <x:row r="8">
      <x:c r="A8" s="8" t="str">
        <x:v>AD_SRC_FAMILY</x:v>
      </x:c>
      <x:c r="B8" s="8" t="str">
        <x:v>OFFICIAL</x:v>
      </x:c>
      <x:c r="C8" s="8" t="str">
        <x:v>Govern d’Andorra</x:v>
      </x:c>
      <x:c r="D8" s="8" t="str">
        <x:v>B.1 Reagrupament familiar</x:v>
      </x:c>
      <x:c r="E8" s="8" t="str">
        <x:v>https://www.govern.ad/ca/tematiques/immigracio/residencia/residencia-per-raons-de-reagrupament-autoritzacio-inicial</x:v>
      </x:c>
      <x:c r="F8" s="8" t="str">
        <x:v>Супруг/зарегистрированный партнер, дети, зависимые родители 65+; срок связан со статусом спонсора</x:v>
      </x:c>
      <x:c r="G8" s="8" t="str">
        <x:v>2026-07-31</x:v>
      </x:c>
      <x:c r="H8" s="8" t="str">
        <x:v>HIGH</x:v>
      </x:c>
    </x:row>
    <x:row r="9">
      <x:c r="A9" s="8" t="str">
        <x:v>AD_SRC_CIT</x:v>
      </x:c>
      <x:c r="B9" s="8" t="str">
        <x:v>OFFICIAL</x:v>
      </x:c>
      <x:c r="C9" s="8" t="str">
        <x:v>Govern d’Andorra</x:v>
      </x:c>
      <x:c r="D9" s="8" t="str">
        <x:v>Adquisició de la nacionalitat andorrana</x:v>
      </x:c>
      <x:c r="E9" s="8" t="str">
        <x:v>https://www.govern.ad/ca/ministeris-i-secretaries-d-estat/ministeri-de-justicia-i-interior/nacionalitat/adquisicio-de-la-nacionalitat-andorrana</x:v>
      </x:c>
      <x:c r="F9" s="8" t="str">
        <x:v>Натурализация после 20 лет проживания; последние 5 лет — эффективное проживание; отказ от прежних гражданств; по браку с гражданином Андорры — 5 лет проживания</x:v>
      </x:c>
      <x:c r="G9" s="8" t="str">
        <x:v>2026-07-31</x:v>
      </x:c>
      <x:c r="H9" s="8" t="str">
        <x:v>HIGH</x:v>
      </x:c>
    </x:row>
    <x:row r="10">
      <x:c r="A10" s="8" t="str">
        <x:v>AD_SRC_SCHOOL</x:v>
      </x:c>
      <x:c r="B10" s="8" t="str">
        <x:v>OFFICIAL</x:v>
      </x:c>
      <x:c r="C10" s="8" t="str">
        <x:v>Govern d’Andorra</x:v>
      </x:c>
      <x:c r="D10" s="8" t="str">
        <x:v>Requisits per a l’escolarització</x:v>
      </x:c>
      <x:c r="E10" s="8" t="str">
        <x:v>https://www.govern.ad/ca/tematiques/educacio-formacio-investigacio-i-divulgacio-del-coneixement/estudiar-a-andorra/recursos-i-dades-d-interes</x:v>
      </x:c>
      <x:c r="F10" s="8" t="str">
        <x:v>Доступ к публичной школе после регистрации в коммуне и иммиграционном регистре; выбор андоррской, испанской или французской системы</x:v>
      </x:c>
      <x:c r="G10" s="8" t="str">
        <x:v>2026-07-31</x:v>
      </x:c>
      <x:c r="H10" s="8" t="str">
        <x:v>HIGH</x:v>
      </x:c>
    </x:row>
    <x:row r="11">
      <x:c r="A11" s="8" t="str">
        <x:v>AD_SRC_LGBT</x:v>
      </x:c>
      <x:c r="B11" s="8" t="str">
        <x:v>OFFICIAL</x:v>
      </x:c>
      <x:c r="C11" s="8" t="str">
        <x:v>Govern d’Andorra</x:v>
      </x:c>
      <x:c r="D11" s="8" t="str">
        <x:v>Оценка Совета Европы: права LGTBI</x:v>
      </x:c>
      <x:c r="E11" s="8" t="str">
        <x:v>https://www.govern.ad/ca/w/andorra-avanca-en-la-lluita-contra-el-racisme-i-la-intolerancia-segons-publica-en-l-informe-d-avaluacio-el-consell-d-europa-1</x:v>
      </x:c>
      <x:c r="F11" s="8" t="str">
        <x:v>Однополый гражданский брак и усыновление на равных условиях; правовая защита трансгендерных людей</x:v>
      </x:c>
      <x:c r="G11" s="8" t="str">
        <x:v>2026-07-31</x:v>
      </x:c>
      <x:c r="H11" s="8" t="str">
        <x:v>HIGH</x:v>
      </x:c>
    </x:row>
    <x:row r="12">
      <x:c r="A12" s="8" t="str">
        <x:v>AD_SRC_MARRIAGE</x:v>
      </x:c>
      <x:c r="B12" s="8" t="str">
        <x:v>OFFICIAL</x:v>
      </x:c>
      <x:c r="C12" s="8" t="str">
        <x:v>Govern d’Andorra</x:v>
      </x:c>
      <x:c r="D12" s="8" t="str">
        <x:v>Matrimonis civils</x:v>
      </x:c>
      <x:c r="E12" s="8" t="str">
        <x:v>https://www.govern.ad/ca/tematiques/registre-civil/matrimonis-civils</x:v>
      </x:c>
      <x:c r="F12" s="8" t="str">
        <x:v>Регистрация и признание гражданских браков, включая заключенные за рубежом</x:v>
      </x:c>
      <x:c r="G12" s="8" t="str">
        <x:v>2026-07-31</x:v>
      </x:c>
      <x:c r="H12" s="8" t="str">
        <x:v>HIGH</x:v>
      </x:c>
    </x:row>
    <x:row r="13">
      <x:c r="A13" s="8" t="str">
        <x:v>AD_SRC_COST</x:v>
      </x:c>
      <x:c r="B13" s="8" t="str">
        <x:v>SECONDARY</x:v>
      </x:c>
      <x:c r="C13" s="8" t="str">
        <x:v>Numbeo</x:v>
      </x:c>
      <x:c r="D13" s="8" t="str">
        <x:v>Cost of Living in Andorra la Vella</x:v>
      </x:c>
      <x:c r="E13" s="8" t="str">
        <x:v>https://www.numbeo.com/cost-of-living/in/Andorra-La-Vella</x:v>
      </x:c>
      <x:c r="F13" s="8" t="str">
        <x:v>Ориентиры расходов и аренды; 1-bedroom в центре около €1 260</x:v>
      </x:c>
      <x:c r="G13" s="8" t="str">
        <x:v>2026-07-31</x:v>
      </x:c>
      <x:c r="H13" s="8" t="str">
        <x:v>MEDIUM</x:v>
      </x:c>
    </x:row>
    <x:row r="14">
      <x:c r="A14" s="8" t="str">
        <x:v>AD_SRC_COST_COUNTRY</x:v>
      </x:c>
      <x:c r="B14" s="8" t="str">
        <x:v>SECONDARY</x:v>
      </x:c>
      <x:c r="C14" s="8" t="str">
        <x:v>Numbeo</x:v>
      </x:c>
      <x:c r="D14" s="8" t="str">
        <x:v>Cost of Living in Andorra</x:v>
      </x:c>
      <x:c r="E14" s="8" t="str">
        <x:v>https://www.numbeo.com/cost-of-living/country_result.jsp?country=Andorra</x:v>
      </x:c>
      <x:c r="F14" s="8" t="str">
        <x:v>Ориентир расходов семьи из 4 человек без аренды около €2 837</x:v>
      </x:c>
      <x:c r="G14" s="8" t="str">
        <x:v>2026-07-31</x:v>
      </x:c>
      <x:c r="H14" s="8" t="str">
        <x:v>MEDIUM</x:v>
      </x:c>
    </x:row>
    <x:row r="15">
      <x:c r="A15" s="8" t="str">
        <x:v>AD_SRC_NORM</x:v>
      </x:c>
      <x:c r="B15" s="8" t="str">
        <x:v>OFFICIAL</x:v>
      </x:c>
      <x:c r="C15" s="8" t="str">
        <x:v>Govern d’Andorra</x:v>
      </x:c>
      <x:c r="D15" s="8" t="str">
        <x:v>Normativa i legislació d’immigració</x:v>
      </x:c>
      <x:c r="E15" s="8" t="str">
        <x:v>https://www.govern.ad/ca/tematiques/immigracio/normativa-i-legislacio</x:v>
      </x:c>
      <x:c r="F15" s="8" t="str">
        <x:v>Актуальные квоты и нормативные акты 2025–2026</x:v>
      </x:c>
      <x:c r="G15" s="8" t="str">
        <x:v>2026-07-31</x:v>
      </x:c>
      <x:c r="H15" s="8" t="str">
        <x:v>HIGH</x:v>
      </x:c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 t="str">
        <x:v>AD_SRC_PETS</x:v>
      </x:c>
      <x:c r="B17" s="8" t="str">
        <x:v>OFFICIAL</x:v>
      </x:c>
      <x:c r="C17" s="8" t="str">
        <x:v>Govern d’Andorra</x:v>
      </x:c>
      <x:c r="D17" s="8" t="str">
        <x:v>Travel to Andorra — pets</x:v>
      </x:c>
      <x:c r="E17" s="8" t="str">
        <x:v>https://www.govern.ad/en/ministries-and-secretaries-of-state/ministry-of-foreign-affairs/travel-to-andorra</x:v>
      </x:c>
      <x:c r="F17" s="8" t="str">
        <x:v>Микрочип, бешенство, 21 день, паспорт/сертификат</x:v>
      </x:c>
      <x:c r="G17" s="8" t="str">
        <x:v>2026-08-01</x:v>
      </x:c>
      <x:c r="H17" s="8" t="str">
        <x:v>HIGH</x:v>
      </x:c>
    </x:row>
    <x:row r="18">
      <x:c r="A18" s="8" t="str">
        <x:v>AD_SRC_FAMILY_INCOME</x:v>
      </x:c>
      <x:c r="B18" s="8" t="str">
        <x:v>OFFICIAL</x:v>
      </x:c>
      <x:c r="C18" s="8" t="str">
        <x:v>Govern d’Andorra</x:v>
      </x:c>
      <x:c r="D18" s="8" t="str">
        <x:v>Reagrupament — mitjans econòmics</x:v>
      </x:c>
      <x:c r="E18" s="8" t="str">
        <x:v>https://www.govern.ad/ca/w/la-quota-especial-d-estiu-es-consolida-amb-600-autoritzacions-per-a-la-campanya-d-enguany-1</x:v>
      </x:c>
      <x:c r="F18" s="8" t="str">
        <x:v>100%/100%/70% МРОТ</x:v>
      </x:c>
      <x:c r="G18" s="8" t="str">
        <x:v>2026-08-01</x:v>
      </x:c>
      <x:c r="H18" s="8" t="str">
        <x:v>HIGH</x:v>
      </x:c>
    </x:row>
    <x:row r="19">
      <x:c r="A19" s="8" t="str">
        <x:v>AD_SRC_FEES</x:v>
      </x:c>
      <x:c r="B19" s="8" t="str">
        <x:v>OFFICIAL</x:v>
      </x:c>
      <x:c r="C19" s="8" t="str">
        <x:v>Govern d’Andorra</x:v>
      </x:c>
      <x:c r="D19" s="8" t="str">
        <x:v>Tarifes tràmits d'immigració</x:v>
      </x:c>
      <x:c r="E19" s="8" t="str">
        <x:v>https://www.govern.ad/ca/tematiques/immigracio/altres-tramits/tarifes</x:v>
      </x:c>
      <x:c r="F19" s="8" t="str">
        <x:v>Государственные сборы</x:v>
      </x:c>
      <x:c r="G19" s="8" t="str">
        <x:v>2026-08-01</x:v>
      </x:c>
      <x:c r="H19" s="8" t="str">
        <x:v>HIGH</x:v>
      </x:c>
    </x:row>
    <x:row r="20">
      <x:c r="A20" s="8" t="str">
        <x:v>AD_SRC_MIN_WAGE_2026</x:v>
      </x:c>
      <x:c r="B20" s="8" t="str">
        <x:v>OFFICIAL</x:v>
      </x:c>
      <x:c r="C20" s="8" t="str">
        <x:v>Govern d’Andorra</x:v>
      </x:c>
      <x:c r="D20" s="8" t="str">
        <x:v>Salari mínim 2026</x:v>
      </x:c>
      <x:c r="E20" s="8" t="str">
        <x:v>https://www.govern.ad/ca/w/el-govern-aprova-un-increment-extraordinari-del-salari-minim-del-2-8-fins-als-1-568-67-euros-mensuals</x:v>
      </x:c>
      <x:c r="F20" s="8" t="str">
        <x:v>€1 568,67/месяц</x:v>
      </x:c>
      <x:c r="G20" s="8" t="str">
        <x:v>2026-08-01</x:v>
      </x:c>
      <x:c r="H20" s="8" t="str">
        <x:v>HIGH</x:v>
      </x:c>
    </x:row>
    <x:row r="21">
      <x:c r="A21" s="8" t="str">
        <x:v>AD_SRC_TAX_WORLDWIDE</x:v>
      </x:c>
      <x:c r="B21" s="8" t="str">
        <x:v>OFFICIAL</x:v>
      </x:c>
      <x:c r="C21" s="8" t="str">
        <x:v>Govern d’Andorra</x:v>
      </x:c>
      <x:c r="D21" s="8" t="str">
        <x:v>Què és l’IRPF?</x:v>
      </x:c>
      <x:c r="E21" s="8" t="str">
        <x:v>https://www.govern.ad/ca/l/4191528</x:v>
      </x:c>
      <x:c r="F21" s="8" t="str">
        <x:v>Мировой доход резидента</x:v>
      </x:c>
      <x:c r="G21" s="8" t="str">
        <x:v>2026-08-01</x:v>
      </x:c>
      <x:c r="H21" s="8" t="str">
        <x:v>HIGH</x:v>
      </x:c>
    </x:row>
    <x:row r="22">
      <x:c r="A22" s="8" t="str">
        <x:v>AD_SRC_TAX_RESIDENCE</x:v>
      </x:c>
      <x:c r="B22" s="8" t="str">
        <x:v>OFFICIAL</x:v>
      </x:c>
      <x:c r="C22" s="8" t="str">
        <x:v>Govern d’Andorra</x:v>
      </x:c>
      <x:c r="D22" s="8" t="str">
        <x:v>Fiscal residence criteria</x:v>
      </x:c>
      <x:c r="E22" s="8" t="str">
        <x:v>https://www.govern.ad/ca/l/4191384</x:v>
      </x:c>
      <x:c r="F22" s="8" t="str">
        <x:v>Критерии налогового резидентства</x:v>
      </x:c>
      <x:c r="G22" s="8" t="str">
        <x:v>2026-08-01</x:v>
      </x:c>
      <x:c r="H22" s="8" t="str">
        <x:v>HIGH</x:v>
      </x:c>
    </x:row>
    <x:row r="23">
      <x:c r="A23" s="8" t="str">
        <x:v>AD_SRC_CASS_2026</x:v>
      </x:c>
      <x:c r="B23" s="8" t="str">
        <x:v>OFFICIAL</x:v>
      </x:c>
      <x:c r="C23" s="8" t="str">
        <x:v>Govern d’Andorra</x:v>
      </x:c>
      <x:c r="D23" s="8" t="str">
        <x:v>Tarifes CASS 2026</x:v>
      </x:c>
      <x:c r="E23" s="8" t="str">
        <x:v>https://www.govern.ad/ca/w/actualitzen-tarifes-cass-2026</x:v>
      </x:c>
      <x:c r="F23" s="8" t="str">
        <x:v>25% первичного приёма пациентом</x:v>
      </x:c>
      <x:c r="G23" s="8" t="str">
        <x:v>2026-08-01</x:v>
      </x:c>
      <x:c r="H23" s="8" t="str">
        <x:v>HIGH</x:v>
      </x:c>
    </x:row>
    <x:row r="24">
      <x:c r="A24" s="8" t="str">
        <x:v>AD_SRC_EDU_SYSTEMS</x:v>
      </x:c>
      <x:c r="B24" s="8" t="str">
        <x:v>OFFICIAL</x:v>
      </x:c>
      <x:c r="C24" s="8" t="str">
        <x:v>Govern d’Andorra</x:v>
      </x:c>
      <x:c r="D24" s="8" t="str">
        <x:v>Sistemes educatius</x:v>
      </x:c>
      <x:c r="E24" s="8" t="str">
        <x:v>https://www.govern.ad/ca/tematiques/educacio-formacio-investigacio-i-divulgacio-del-coneixement/estudiar-a-andorra/sistemes-educatius-a-andorra</x:v>
      </x:c>
      <x:c r="F24" s="8" t="str">
        <x:v>Три государственные системы</x:v>
      </x:c>
      <x:c r="G24" s="8" t="str">
        <x:v>2026-08-01</x:v>
      </x:c>
      <x:c r="H24" s="8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7" t="str">
        <x:v>Блок</x:v>
      </x:c>
      <x:c r="B1" s="27" t="str">
        <x:v>Вес</x:v>
      </x:c>
      <x:c r="C1" s="27" t="str">
        <x:v>Готовность %</x:v>
      </x:c>
      <x:c r="D1" s="27" t="str">
        <x:v>Взвешенный вклад</x:v>
      </x:c>
    </x:row>
    <x:row r="2">
      <x:c r="A2" t="str">
        <x:v>Маршруты</x:v>
      </x:c>
      <x:c r="B2" t="n">
        <x:v>18</x:v>
      </x:c>
      <x:c r="C2" s="18" t="n">
        <x:v>99</x:v>
      </x:c>
      <x:c r="D2" s="22" t="n">
        <x:f>B2*C2/100</x:f>
        <x:v>17.82</x:v>
      </x:c>
    </x:row>
    <x:row r="3">
      <x:c r="A3" t="str">
        <x:v>Доход и средства</x:v>
      </x:c>
      <x:c r="B3" t="n">
        <x:v>10</x:v>
      </x:c>
      <x:c r="C3" s="18" t="n">
        <x:v>96</x:v>
      </x:c>
      <x:c r="D3" s="22" t="n">
        <x:f>B3*C3/100</x:f>
        <x:v>9.6</x:v>
      </x:c>
    </x:row>
    <x:row r="4">
      <x:c r="A4" t="str">
        <x:v>Работа</x:v>
      </x:c>
      <x:c r="B4" t="n">
        <x:v>8</x:v>
      </x:c>
      <x:c r="C4" s="18" t="n">
        <x:v>98</x:v>
      </x:c>
      <x:c r="D4" s="22" t="n">
        <x:f>B4*C4/100</x:f>
        <x:v>7.84</x:v>
      </x:c>
    </x:row>
    <x:row r="5">
      <x:c r="A5" t="str">
        <x:v>Семья</x:v>
      </x:c>
      <x:c r="B5" t="n">
        <x:v>9</x:v>
      </x:c>
      <x:c r="C5" s="18" t="n">
        <x:v>97</x:v>
      </x:c>
      <x:c r="D5" s="22" t="n">
        <x:f>B5*C5/100</x:f>
        <x:v>8.73</x:v>
      </x:c>
    </x:row>
    <x:row r="6">
      <x:c r="A6" t="str">
        <x:v>ПМЖ и гражданство</x:v>
      </x:c>
      <x:c r="B6" t="n">
        <x:v>10</x:v>
      </x:c>
      <x:c r="C6" s="18" t="n">
        <x:v>98</x:v>
      </x:c>
      <x:c r="D6" s="22" t="n">
        <x:f>B6*C6/100</x:f>
        <x:v>9.8</x:v>
      </x:c>
    </x:row>
    <x:row r="7">
      <x:c r="A7" t="str">
        <x:v>Налоги</x:v>
      </x:c>
      <x:c r="B7" t="n">
        <x:v>7</x:v>
      </x:c>
      <x:c r="C7" s="18" t="n">
        <x:v>95</x:v>
      </x:c>
      <x:c r="D7" s="22" t="n">
        <x:f>B7*C7/100</x:f>
        <x:v>6.65</x:v>
      </x:c>
    </x:row>
    <x:row r="8">
      <x:c r="A8" t="str">
        <x:v>Медицина</x:v>
      </x:c>
      <x:c r="B8" t="n">
        <x:v>7</x:v>
      </x:c>
      <x:c r="C8" s="18" t="n">
        <x:v>95</x:v>
      </x:c>
      <x:c r="D8" s="22" t="n">
        <x:f>B8*C8/100</x:f>
        <x:v>6.65</x:v>
      </x:c>
    </x:row>
    <x:row r="9">
      <x:c r="A9" t="str">
        <x:v>Города и бюджет</x:v>
      </x:c>
      <x:c r="B9" t="n">
        <x:v>10</x:v>
      </x:c>
      <x:c r="C9" s="18" t="n">
        <x:v>90</x:v>
      </x:c>
      <x:c r="D9" s="22" t="n">
        <x:f>B9*C9/100</x:f>
        <x:v>9</x:v>
      </x:c>
    </x:row>
    <x:row r="10">
      <x:c r="A10" t="str">
        <x:v>Школы</x:v>
      </x:c>
      <x:c r="B10" t="n">
        <x:v>6</x:v>
      </x:c>
      <x:c r="C10" s="18" t="n">
        <x:v>99</x:v>
      </x:c>
      <x:c r="D10" s="22" t="n">
        <x:f>B10*C10/100</x:f>
        <x:v>5.94</x:v>
      </x:c>
    </x:row>
    <x:row r="11">
      <x:c r="A11" t="str">
        <x:v>Животные</x:v>
      </x:c>
      <x:c r="B11" t="n">
        <x:v>6</x:v>
      </x:c>
      <x:c r="C11" s="18" t="n">
        <x:v>96</x:v>
      </x:c>
      <x:c r="D11" s="22" t="n">
        <x:f>B11*C11/100</x:f>
        <x:v>5.76</x:v>
      </x:c>
    </x:row>
    <x:row r="12">
      <x:c r="A12" s="11" t="str">
        <x:v>ЛГБТ</x:v>
      </x:c>
      <x:c r="B12" s="11" t="n">
        <x:v>4</x:v>
      </x:c>
      <x:c r="C12" s="19" t="n">
        <x:v>99</x:v>
      </x:c>
      <x:c r="D12" s="23" t="n">
        <x:f>B12*C12/100</x:f>
        <x:v>3.96</x:v>
      </x:c>
    </x:row>
    <x:row r="13">
      <x:c r="A13" t="str">
        <x:v>Источники</x:v>
      </x:c>
      <x:c r="B13" t="n">
        <x:v>5</x:v>
      </x:c>
      <x:c r="C13" t="n">
        <x:v>99</x:v>
      </x:c>
      <x:c r="D13" t="n">
        <x:f>B13*C13/100</x:f>
        <x:v>4.95</x:v>
      </x:c>
    </x:row>
    <x:row r="14">
      <x:c r="A14" s="26" t="str">
        <x:v>ИТОГО</x:v>
      </x:c>
      <x:c r="B14" s="26" t="n">
        <x:v>100</x:v>
      </x:c>
      <x:c r="C14" s="26" t="n">
        <x:f>ROUND(SUM(D2:D13),0)</x:f>
        <x:v>97</x:v>
      </x:c>
      <x:c r="D14" s="26"/>
    </x:row>
    <x:row r="16" ht="15" hidden="0" customHeight="1">
      <x:c r="A16" s="44" t="str">
        <x:v>Контроль v3.2</x:v>
      </x:c>
      <x:c r="B16" s="44" t="str">
        <x:v>Статус</x:v>
      </x:c>
      <x:c r="C16" s="44" t="str">
        <x:v>Дата</x:v>
      </x:c>
      <x:c r="D16" s="44" t="str">
        <x:v>Документ</x:v>
      </x:c>
    </x:row>
    <x:row r="17" ht="15" hidden="0" customHeight="1">
      <x:c r="A17" s="8" t="str">
        <x:v>Публикация</x:v>
      </x:c>
      <x:c r="B17" s="8" t="str">
        <x:v>ЗАБЛОКИРОВАНА</x:v>
      </x:c>
      <x:c r="C17" s="8" t="str">
        <x:v>2026-08-02</x:v>
      </x:c>
      <x:c r="D17" s="8" t="str">
        <x:v>V3.2 Audit</x:v>
      </x:c>
    </x:row>
    <x:row r="18" ht="26.399999618530273" hidden="0" customHeight="1">
      <x:c r="A18" s="8" t="str">
        <x:v>Причина</x:v>
      </x:c>
      <x:c r="B18" s="8" t="str">
        <x:v>Есть блокеры §12</x:v>
      </x:c>
      <x:c r="C18" s="8"/>
      <x:c r="D18" s="8" t="str">
        <x:v>andorra-publication-checklist-v3.2.md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0" hidden="0" customWidth="1"/>
    <x:col min="5" max="5" width="34" hidden="0" customWidth="1"/>
    <x:col min="6" max="6" width="32" hidden="0" customWidth="1"/>
    <x:col min="7" max="7" width="24" hidden="0" customWidth="1"/>
    <x:col min="8" max="8" width="28" hidden="0" customWidth="1"/>
    <x:col min="9" max="9" width="58" hidden="0" customWidth="1"/>
  </x:cols>
  <x:sheetData>
    <x:row r="1">
      <x:c r="A1" s="28" t="str">
        <x:v>Route ID</x:v>
      </x:c>
      <x:c r="B1" s="28" t="str">
        <x:v>Срок</x:v>
      </x:c>
      <x:c r="C1" s="28" t="str">
        <x:v>Присутствие</x:v>
      </x:c>
      <x:c r="D1" s="28" t="str">
        <x:v>Квота</x:v>
      </x:c>
      <x:c r="E1" s="28" t="str">
        <x:v>Ключевые финансы</x:v>
      </x:c>
      <x:c r="F1" s="28" t="str">
        <x:v>Работа</x:v>
      </x:c>
      <x:c r="G1" s="28" t="str">
        <x:v>Семья</x:v>
      </x:c>
      <x:c r="H1" s="28" t="str">
        <x:v>Статус по умолчанию</x:v>
      </x:c>
      <x:c r="I1" s="28" t="str">
        <x:v>Официальный источник</x:v>
      </x:c>
    </x:row>
    <x:row r="2">
      <x:c r="A2" s="8" t="str">
        <x:v>AD_DN</x:v>
      </x:c>
      <x:c r="B2" s="8" t="str">
        <x:v>2→2→3→10 лет</x:v>
      </x:c>
      <x:c r="C2" s="8" t="str">
        <x:v>90 дней/год</x:v>
      </x:c>
      <x:c r="D2" s="8" t="str">
        <x:v>Да</x:v>
      </x:c>
      <x:c r="E2" s="8" t="str">
        <x:v>Достаточные средства; числовая формула не опубликована</x:v>
      </x:c>
      <x:c r="F2" s="8" t="str">
        <x:v>Удалённая деятельность</x:v>
      </x:c>
      <x:c r="G2" s="8" t="str">
        <x:v>Супруг/партнёр и иждивенцы учитываются</x:v>
      </x:c>
      <x:c r="H2" s="8" t="str">
        <x:v>SUITABLE_WITH_CONDITIONS</x:v>
      </x:c>
      <x:c r="I2" s="8" t="str">
        <x:v>https://www.govern.ad/ca/tematiques/immigracio/residencia/residencia-per-a-nomada-digital</x:v>
      </x:c>
    </x:row>
    <x:row r="3">
      <x:c r="A3" s="8" t="str">
        <x:v>AD_SELF</x:v>
      </x:c>
      <x:c r="B3" s="8" t="str">
        <x:v>1→2→2→2→10 лет</x:v>
      </x:c>
      <x:c r="C3" s="8" t="str">
        <x:v>Постоянно</x:v>
      </x:c>
      <x:c r="D3" s="8" t="str">
        <x:v>Да</x:v>
      </x:c>
      <x:c r="E3" s="8" t="str">
        <x:v>Депозит €50 000; доля &gt;34%</x:v>
      </x:c>
      <x:c r="F3" s="8" t="str">
        <x:v>Собственная деятельность</x:v>
      </x:c>
      <x:c r="G3" s="8" t="str">
        <x:v>Воссоединение</x:v>
      </x:c>
      <x:c r="H3" s="8" t="str">
        <x:v>SUITABLE_WITH_CONDITIONS</x:v>
      </x:c>
      <x:c r="I3" s="8" t="str">
        <x:v>https://www.govern.ad/ca/tematiques/immigracio/residencia-i-treball/residencia-i-treball-per-compte-propi-autoritzacio-inicial</x:v>
      </x:c>
    </x:row>
    <x:row r="4">
      <x:c r="A4" s="8" t="str">
        <x:v>AD_EMP</x:v>
      </x:c>
      <x:c r="B4" s="8" t="str">
        <x:v>1→2→2→2→10 лет</x:v>
      </x:c>
      <x:c r="C4" s="8" t="str">
        <x:v>Постоянно</x:v>
      </x:c>
      <x:c r="D4" s="8" t="str">
        <x:v>Да</x:v>
      </x:c>
      <x:c r="E4" s="8" t="str">
        <x:v>Зарплата по контракту</x:v>
      </x:c>
      <x:c r="F4" s="8" t="str">
        <x:v>Местный работодатель</x:v>
      </x:c>
      <x:c r="G4" s="8" t="str">
        <x:v>Воссоединение</x:v>
      </x:c>
      <x:c r="H4" s="8" t="str">
        <x:v>SUITABLE_WITH_CONDITIONS</x:v>
      </x:c>
      <x:c r="I4" s="8" t="str">
        <x:v>https://www.govern.ad/ca/tematiques/immigracio/residencia-i-treball/residencia-i-treball-autoritzacio-inicial</x:v>
      </x:c>
    </x:row>
    <x:row r="5">
      <x:c r="A5" s="8" t="str">
        <x:v>AD_INTL_PRO</x:v>
      </x:c>
      <x:c r="B5" s="8" t="str">
        <x:v>2→2→3→10 лет</x:v>
      </x:c>
      <x:c r="C5" s="8" t="str">
        <x:v>90 дней/год</x:v>
      </x:c>
      <x:c r="D5" s="8" t="str">
        <x:v>Да</x:v>
      </x:c>
      <x:c r="E5" s="8" t="str">
        <x:v>€47 500 + €9 500/иждивенца</x:v>
      </x:c>
      <x:c r="F5" s="8" t="str">
        <x:v>85% услуг вне Андорры; максимум 1 сотрудник</x:v>
      </x:c>
      <x:c r="G5" s="8" t="str">
        <x:v>Иждивенцы</x:v>
      </x:c>
      <x:c r="H5" s="8" t="str">
        <x:v>PRELIMINARY_SUITABLE</x:v>
      </x:c>
      <x:c r="I5" s="8" t="str">
        <x:v>https://www.govern.ad/ca/tematiques/immigracio/residencia/residencia-sense-treball-autoritzacio-inicial</x:v>
      </x:c>
    </x:row>
    <x:row r="6">
      <x:c r="A6" s="8" t="str">
        <x:v>AD_ENT</x:v>
      </x:c>
      <x:c r="B6" s="8" t="str">
        <x:v>1 год, ежегодное продление</x:v>
      </x:c>
      <x:c r="C6" s="8" t="str">
        <x:v>90 дней/год</x:v>
      </x:c>
      <x:c r="D6" s="8" t="str">
        <x:v>Да</x:v>
      </x:c>
      <x:c r="E6" s="8" t="str">
        <x:v>По правилам программы</x:v>
      </x:c>
      <x:c r="F6" s="8" t="str">
        <x:v>Утверждённый предпринимательский проект</x:v>
      </x:c>
      <x:c r="G6" s="8" t="str">
        <x:v>Иждивенцы</x:v>
      </x:c>
      <x:c r="H6" s="8" t="str">
        <x:v>SUITABLE_WITH_CONDITIONS</x:v>
      </x:c>
      <x:c r="I6" s="8" t="str">
        <x:v>https://www.govern.ad/ca/tematiques/immigracio/residencia/residencia-per-a-participants-en-programes-per-a-emprenedors</x:v>
      </x:c>
    </x:row>
    <x:row r="7">
      <x:c r="A7" s="8" t="str">
        <x:v>AD_PASSIVE</x:v>
      </x:c>
      <x:c r="B7" s="8" t="str">
        <x:v>2→2→3→10 лет</x:v>
      </x:c>
      <x:c r="C7" s="8" t="str">
        <x:v>90 дней/год</x:v>
      </x:c>
      <x:c r="D7" s="8" t="str">
        <x:v>Да</x:v>
      </x:c>
      <x:c r="E7" s="8" t="str">
        <x:v>300% МРОТ + 100% на иждивенца</x:v>
      </x:c>
      <x:c r="F7" s="8" t="str">
        <x:v>Местная работа не является основанием</x:v>
      </x:c>
      <x:c r="G7" s="8" t="str">
        <x:v>Иждивенцы</x:v>
      </x:c>
      <x:c r="H7" s="8" t="str">
        <x:v>PRELIMINARY_SUITABLE</x:v>
      </x:c>
      <x:c r="I7" s="8" t="str">
        <x:v>https://www.govern.ad/ca/tematiques/immigracio/residencia/residencia-sense-treball-autoritzacio-inicial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24" hidden="0" customWidth="1"/>
    <x:col min="5" max="5" width="64" hidden="0" customWidth="1"/>
  </x:cols>
  <x:sheetData>
    <x:row r="1">
      <x:c r="A1" s="28" t="str">
        <x:v>Параметр</x:v>
      </x:c>
      <x:c r="B1" s="28" t="str">
        <x:v>Значение</x:v>
      </x:c>
      <x:c r="C1" s="28" t="str">
        <x:v>Дата/формула</x:v>
      </x:c>
      <x:c r="D1" s="28" t="str">
        <x:v>Статус</x:v>
      </x:c>
      <x:c r="E1" s="28" t="str">
        <x:v>Источник</x:v>
      </x:c>
    </x:row>
    <x:row r="2">
      <x:c r="A2" s="8" t="str">
        <x:v>Минимальная зарплата</x:v>
      </x:c>
      <x:c r="B2" s="8" t="str">
        <x:v>€1 568,67/месяц; €9,05/час</x:v>
      </x:c>
      <x:c r="C2" s="8" t="str">
        <x:v>с 2026-07-01</x:v>
      </x:c>
      <x:c r="D2" s="8" t="str">
        <x:v>CONFIRMED</x:v>
      </x:c>
      <x:c r="E2" s="8" t="str">
        <x:v>https://www.govern.ad/ca/w/el-govern-aprova-un-increment-extraordinari-del-salari-minim-del-2-8-fins-als-1-568-67-euros-mensuals</x:v>
      </x:c>
    </x:row>
    <x:row r="3">
      <x:c r="A3" s="8" t="str">
        <x:v>Пассивный доход — основной</x:v>
      </x:c>
      <x:c r="B3" s="8" t="str">
        <x:v>€56 472,12/год</x:v>
      </x:c>
      <x:c r="C3" s="8" t="str">
        <x:v>1568,67×12×300%</x:v>
      </x:c>
      <x:c r="D3" s="8" t="str">
        <x:v>CALCULATED_FROM_OFFICIAL</x:v>
      </x:c>
      <x:c r="E3" s="8" t="str">
        <x:v>https://www.govern.ad/ca/tematiques/immigracio/residencia/residencia-sense-treball-autoritzacio-inicial</x:v>
      </x:c>
    </x:row>
    <x:row r="4">
      <x:c r="A4" s="8" t="str">
        <x:v>Пассивный доход — иждивенец</x:v>
      </x:c>
      <x:c r="B4" s="8" t="str">
        <x:v>+€18 824,04/год</x:v>
      </x:c>
      <x:c r="C4" s="8" t="str">
        <x:v>1568,67×12×100%</x:v>
      </x:c>
      <x:c r="D4" s="8" t="str">
        <x:v>CALCULATED_FROM_OFFICIAL</x:v>
      </x:c>
      <x:c r="E4" s="8" t="str">
        <x:v>https://www.govern.ad/ca/tematiques/immigracio/residencia/residencia-sense-treball-autoritzacio-inicial</x:v>
      </x:c>
    </x:row>
    <x:row r="5">
      <x:c r="A5" s="8" t="str">
        <x:v>Семейное воссоединение</x:v>
      </x:c>
      <x:c r="B5" s="8" t="str">
        <x:v>100% спонсор; 100% взрослый; 70% ребёнок</x:v>
      </x:c>
      <x:c r="C5" s="8" t="str">
        <x:v>процент МРОТ</x:v>
      </x:c>
      <x:c r="D5" s="8" t="str">
        <x:v>CONFIRMED</x:v>
      </x:c>
      <x:c r="E5" s="8" t="str">
        <x:v>https://www.govern.ad/ca/w/la-quota-especial-d-estiu-es-consolida-amb-600-autoritzacions-per-a-la-campanya-d-enguany-1</x:v>
      </x:c>
    </x:row>
    <x:row r="6">
      <x:c r="A6" s="8" t="str">
        <x:v>Животные</x:v>
      </x:c>
      <x:c r="B6" s="8" t="str">
        <x:v>чип, бешенство, 21 день, паспорт/сертификат</x:v>
      </x:c>
      <x:c r="C6" s="8" t="str">
        <x:v>до 5 собак/кошек/хорьков</x:v>
      </x:c>
      <x:c r="D6" s="8" t="str">
        <x:v>CONFIRMED</x:v>
      </x:c>
      <x:c r="E6" s="8" t="str">
        <x:v>https://www.govern.ad/en/ministries-and-secretaries-of-state/ministry-of-foreign-affairs/travel-to-andorra</x:v>
      </x:c>
    </x:row>
    <x:row r="7">
      <x:c r="A7" s="8" t="str">
        <x:v>Налоговое резидентство</x:v>
      </x:c>
      <x:c r="B7" s="8" t="str">
        <x:v>обычно &gt;183 дней</x:v>
      </x:c>
      <x:c r="C7" s="8" t="str">
        <x:v>календарный год</x:v>
      </x:c>
      <x:c r="D7" s="8" t="str">
        <x:v>CONFIRMED</x:v>
      </x:c>
      <x:c r="E7" s="8" t="str">
        <x:v>https://www.govern.ad/ca/l/4191384</x:v>
      </x:c>
    </x:row>
    <x:row r="8">
      <x:c r="A8" s="8" t="str">
        <x:v>IRPF</x:v>
      </x:c>
      <x:c r="B8" s="8" t="str">
        <x:v>мировой доход; максимум 10%</x:v>
      </x:c>
      <x:c r="C8" s="8" t="str">
        <x:v>индивидуальный расчёт</x:v>
      </x:c>
      <x:c r="D8" s="8" t="str">
        <x:v>CONFIRMED</x:v>
      </x:c>
      <x:c r="E8" s="8" t="str">
        <x:v>https://www.govern.ad/ca/l/4191528</x:v>
      </x:c>
    </x:row>
    <x:row r="9">
      <x:c r="A9" s="8" t="str">
        <x:v>Школы</x:v>
      </x:c>
      <x:c r="B9" s="8" t="str">
        <x:v>андоррская, испанская, французская</x:v>
      </x:c>
      <x:c r="C9" s="8" t="str">
        <x:v>3 государственные системы</x:v>
      </x:c>
      <x:c r="D9" s="8" t="str">
        <x:v>CONFIRMED</x:v>
      </x:c>
      <x:c r="E9" s="8" t="str">
        <x:v>https://www.govern.ad/ca/tematiques/educacio-formacio-investigacio-i-divulgacio-del-coneixement/estudiar-a-andorra/sistemes-educatius-a-andorra</x:v>
      </x:c>
    </x:row>
    <x:row r="10">
      <x:c r="A10" s="8" t="str">
        <x:v>Гражданство</x:v>
      </x:c>
      <x:c r="B10" s="8" t="str">
        <x:v>20 лет; отказ от прежнего гражданства</x:v>
      </x:c>
      <x:c r="C10" s="8" t="str">
        <x:v>последние 5 лет эффективного проживания</x:v>
      </x:c>
      <x:c r="D10" s="8" t="str">
        <x:v>CONFIRMED</x:v>
      </x:c>
      <x:c r="E10" s="8" t="str">
        <x:v>https://www.govern.ad/ca/ministeris-i-secretaries-d-estat/ministeri-de-justicia-i-interior/nacionalitat/adquisicio-de-la-nacionalitat-andorrana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42" hidden="0" customWidth="1"/>
    <x:col min="4" max="4" width="38" hidden="0" customWidth="1"/>
  </x:cols>
  <x:sheetData>
    <x:row r="1" ht="50.400001525878906" hidden="0" customHeight="1">
      <x:c r="A1" s="39" t="str">
        <x:v>Блокирующий контроль публикации Андорры по стандарту v3.2</x:v>
      </x:c>
      <x:c r="B1" s="39"/>
      <x:c r="C1" s="39"/>
      <x:c r="D1" s="39"/>
    </x:row>
    <x:row r="2" ht="15" hidden="0" customHeight="1">
      <x:c r="A2" s="40" t="str">
        <x:v>Дата повторной проверки</x:v>
      </x:c>
      <x:c r="B2" s="40" t="str">
        <x:v>2026-08-02</x:v>
      </x:c>
      <x:c r="C2" s="8"/>
      <x:c r="D2" s="8"/>
    </x:row>
    <x:row r="3" ht="26.399999618530273" hidden="0" customHeight="1">
      <x:c r="A3" s="40" t="str">
        <x:v>Итог</x:v>
      </x:c>
      <x:c r="B3" s="40" t="str">
        <x:v>ПУБЛИКАЦИЯ ЗАБЛОКИРОВАНА</x:v>
      </x:c>
      <x:c r="C3" s="8"/>
      <x:c r="D3" s="8"/>
    </x:row>
    <x:row r="4" ht="15" hidden="0" customHeight="1">
      <x:c r="A4" s="41" t="str">
        <x:v>Критерий §12</x:v>
      </x:c>
      <x:c r="B4" s="41" t="str">
        <x:v>Результат</x:v>
      </x:c>
      <x:c r="C4" s="41" t="str">
        <x:v>Что обнаружено</x:v>
      </x:c>
      <x:c r="D4" s="41" t="str">
        <x:v>Следующее действие</x:v>
      </x:c>
    </x:row>
    <x:row r="5" ht="26.399999618530273" hidden="0" customHeight="1">
      <x:c r="A5" s="8" t="str">
        <x:v>USD-эквиваленты всех сумм</x:v>
      </x:c>
      <x:c r="B5" s="8" t="str">
        <x:v>FAIL</x:v>
      </x:c>
      <x:c r="C5" s="8" t="str">
        <x:v>Суммы в EUR не везде имеют USD-эквивалент и дату курса.</x:v>
      </x:c>
      <x:c r="D5" s="8" t="str">
        <x:v>Добавить USD, дату и источник курса.</x:v>
      </x:c>
    </x:row>
    <x:row r="6" ht="26.399999618530273" hidden="0" customHeight="1">
      <x:c r="A6" s="8" t="str">
        <x:v>Перевод терминов</x:v>
      </x:c>
      <x:c r="B6" s="8" t="str">
        <x:v>FAIL</x:v>
      </x:c>
      <x:c r="C6" s="8" t="str">
        <x:v>AFA, CASS, IRPF и часть терминов не раскрыты единообразно.</x:v>
      </x:c>
      <x:c r="D6" s="8" t="str">
        <x:v>Дополнить переводы и глоссарий.</x:v>
      </x:c>
    </x:row>
    <x:row r="7" ht="26.399999618530273" hidden="0" customHeight="1">
      <x:c r="A7" s="8" t="str">
        <x:v>Проценты и статистика</x:v>
      </x:c>
      <x:c r="B7" s="8" t="str">
        <x:v>PASS</x:v>
      </x:c>
      <x:c r="C7" s="8" t="str">
        <x:v>Юридические формулы и медицинские доли объяснены по смыслу.</x:v>
      </x:c>
      <x:c r="D7" s="8" t="str"/>
    </x:row>
    <x:row r="8" ht="26.399999618530273" hidden="0" customHeight="1">
      <x:c r="A8" s="8" t="str">
        <x:v>Полный въезд гражданина РФ</x:v>
      </x:c>
      <x:c r="B8" s="8" t="str">
        <x:v>FAIL</x:v>
      </x:c>
      <x:c r="C8" s="8" t="str">
        <x:v>Есть только транзит через Шенген; полного блока въезда нет.</x:v>
      </x:c>
      <x:c r="D8" s="8" t="str">
        <x:v>Исследовать способ, сроки, сборы, документы и границы.</x:v>
      </x:c>
    </x:row>
    <x:row r="9" ht="26.399999618530273" hidden="0" customHeight="1">
      <x:c r="A9" s="8" t="str">
        <x:v>Города разных размеров</x:v>
      </x:c>
      <x:c r="B9" s="8" t="str">
        <x:v>FAIL</x:v>
      </x:c>
      <x:c r="C9" s="8" t="str">
        <x:v>Категории размера в JSON не заполнены.</x:v>
      </x:c>
      <x:c r="D9" s="8" t="str">
        <x:v>Классифицировать города или обосновать исключение.</x:v>
      </x:c>
    </x:row>
    <x:row r="10" ht="26.399999618530273" hidden="0" customHeight="1">
      <x:c r="A10" s="8" t="str">
        <x:v>Процедура не понижает статус</x:v>
      </x:c>
      <x:c r="B10" s="8" t="str">
        <x:v>FAIL</x:v>
      </x:c>
      <x:c r="C10" s="8" t="str">
        <x:v>Легализация, страховка и мультивиза были перечислены как условия.</x:v>
      </x:c>
      <x:c r="D10" s="8" t="str">
        <x:v>Хранить их как требования к подаче.</x:v>
      </x:c>
    </x:row>
    <x:row r="11" ht="26.399999618530273" hidden="0" customHeight="1">
      <x:c r="A11" s="8" t="str">
        <x:v>Цепочка до гражданства</x:v>
      </x:c>
      <x:c r="B11" s="8" t="str">
        <x:v>PASS</x:v>
      </x:c>
      <x:c r="C11" s="8" t="str">
        <x:v>Сроки, язык и отказ от прежнего гражданства описаны.</x:v>
      </x:c>
      <x:c r="D11" s="8" t="str"/>
    </x:row>
    <x:row r="12" ht="15" hidden="0" customHeight="1">
      <x:c r="A12" s="8" t="str">
        <x:v>Бюджет согласован</x:v>
      </x:c>
      <x:c r="B12" s="8" t="str">
        <x:v>PASS</x:v>
      </x:c>
      <x:c r="C12" s="8" t="str">
        <x:v>Диапазоны указаны в USD для трёх составов семьи.</x:v>
      </x:c>
      <x:c r="D12" s="8" t="str"/>
    </x:row>
    <x:row r="13" ht="26.399999618530273" hidden="0" customHeight="1">
      <x:c r="A13" s="8" t="str">
        <x:v>Конкретная безопасность</x:v>
      </x:c>
      <x:c r="B13" s="8" t="str">
        <x:v>FAIL</x:v>
      </x:c>
      <x:c r="C13" s="8" t="str">
        <x:v>Есть только общие оценки без показателей и периода.</x:v>
      </x:c>
      <x:c r="D13" s="8" t="str">
        <x:v>Добавить национальные и городские данные.</x:v>
      </x:c>
    </x:row>
    <x:row r="14" ht="26.399999618530273" hidden="0" customHeight="1">
      <x:c r="A14" s="8" t="str">
        <x:v>Международная защита</x:v>
      </x:c>
      <x:c r="B14" s="8" t="str">
        <x:v>FAIL</x:v>
      </x:c>
      <x:c r="C14" s="8" t="str">
        <x:v>Раздел ограничен индивидуальной проверкой.</x:v>
      </x:c>
      <x:c r="D14" s="8" t="str">
        <x:v>Исследовать процедуру, доказательства, права и статистику.</x:v>
      </x:c>
    </x:row>
    <x:row r="15" ht="26.399999618530273" hidden="0" customHeight="1">
      <x:c r="A15" s="8" t="str">
        <x:v>Конкретный климат</x:v>
      </x:c>
      <x:c r="B15" s="8" t="str">
        <x:v>FAIL</x:v>
      </x:c>
      <x:c r="C15" s="8" t="str">
        <x:v>Нет обязательного климатического блока.</x:v>
      </x:c>
      <x:c r="D15" s="8" t="str">
        <x:v>Добавить месяцы, температуры, влажность и осадки.</x:v>
      </x:c>
    </x:row>
    <x:row r="16" ht="15" hidden="0" customHeight="1">
      <x:c r="A16" s="8" t="str">
        <x:v>Публикационный флаг</x:v>
      </x:c>
      <x:c r="B16" s="8" t="str">
        <x:v>FALSE</x:v>
      </x:c>
      <x:c r="C16" s="8" t="str">
        <x:v>До закрытия блокеров пакет не публикуется.</x:v>
      </x:c>
      <x:c r="D16" s="8" t="str">
        <x:v>Повторить чек-лист после доработки.</x:v>
      </x:c>
    </x:row>
  </x:sheetData>
  <x:mergeCells>
    <x:mergeCell ref="A1:D1"/>
  </x:mergeCells>
  <x:pageMargins left="0.7" right="0.7" top="0.75" bottom="0.75" header="0.3" footer="0.3"/>
</x:worksheet>
</file>